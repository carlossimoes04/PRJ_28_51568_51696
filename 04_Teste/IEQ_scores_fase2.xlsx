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c\Downloads\"/>
    </mc:Choice>
  </mc:AlternateContent>
  <xr:revisionPtr revIDLastSave="0" documentId="13_ncr:1_{2B1C40B1-685E-4941-A6EA-BC154C31E56C}" xr6:coauthVersionLast="47" xr6:coauthVersionMax="47" xr10:uidLastSave="{00000000-0000-0000-0000-000000000000}"/>
  <bookViews>
    <workbookView xWindow="38280" yWindow="-120" windowWidth="29040" windowHeight="15720" xr2:uid="{3FE1EA0D-94DB-428B-9658-3593316CBA39}"/>
  </bookViews>
  <sheets>
    <sheet name="IEQ_scor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0" i="4" l="1"/>
  <c r="Z14" i="4"/>
  <c r="AH2" i="4" s="1"/>
  <c r="AH7" i="4" s="1"/>
  <c r="AC3" i="4"/>
  <c r="AD4" i="4"/>
  <c r="AE4" i="4"/>
  <c r="AF4" i="4"/>
  <c r="AG4" i="4"/>
  <c r="AC4" i="4"/>
  <c r="AD3" i="4"/>
  <c r="AE3" i="4"/>
  <c r="AF3" i="4"/>
  <c r="AG3" i="4"/>
  <c r="K32" i="4"/>
  <c r="M32" i="4" s="1"/>
  <c r="K31" i="4"/>
  <c r="Q31" i="4" s="1"/>
  <c r="K30" i="4"/>
  <c r="N30" i="4" s="1"/>
  <c r="K29" i="4"/>
  <c r="M29" i="4" s="1"/>
  <c r="K28" i="4"/>
  <c r="P28" i="4" s="1"/>
  <c r="K27" i="4"/>
  <c r="M27" i="4" s="1"/>
  <c r="K26" i="4"/>
  <c r="M26" i="4" s="1"/>
  <c r="K25" i="4"/>
  <c r="O25" i="4" s="1"/>
  <c r="K24" i="4"/>
  <c r="M24" i="4" s="1"/>
  <c r="K23" i="4"/>
  <c r="Q23" i="4" s="1"/>
  <c r="K22" i="4"/>
  <c r="N22" i="4" s="1"/>
  <c r="K21" i="4"/>
  <c r="M21" i="4" s="1"/>
  <c r="K20" i="4"/>
  <c r="P20" i="4" s="1"/>
  <c r="K19" i="4"/>
  <c r="M19" i="4" s="1"/>
  <c r="K18" i="4"/>
  <c r="Q18" i="4" s="1"/>
  <c r="K17" i="4"/>
  <c r="O17" i="4" s="1"/>
  <c r="K16" i="4"/>
  <c r="M16" i="4" s="1"/>
  <c r="K15" i="4"/>
  <c r="Q15" i="4" s="1"/>
  <c r="K14" i="4"/>
  <c r="N14" i="4" s="1"/>
  <c r="K13" i="4"/>
  <c r="M13" i="4" s="1"/>
  <c r="K12" i="4"/>
  <c r="P12" i="4" s="1"/>
  <c r="K11" i="4"/>
  <c r="M11" i="4" s="1"/>
  <c r="K10" i="4"/>
  <c r="N10" i="4" s="1"/>
  <c r="K9" i="4"/>
  <c r="O9" i="4" s="1"/>
  <c r="K8" i="4"/>
  <c r="M8" i="4" s="1"/>
  <c r="K7" i="4"/>
  <c r="Q7" i="4" s="1"/>
  <c r="K6" i="4"/>
  <c r="N6" i="4" s="1"/>
  <c r="AB4" i="4"/>
  <c r="K5" i="4"/>
  <c r="M5" i="4" s="1"/>
  <c r="K4" i="4"/>
  <c r="P4" i="4" s="1"/>
  <c r="AB3" i="4"/>
  <c r="K3" i="4"/>
  <c r="M3" i="4" s="1"/>
  <c r="K2" i="4"/>
  <c r="M2" i="4" s="1"/>
  <c r="AB2" i="4" l="1"/>
  <c r="AB7" i="4" s="1"/>
  <c r="N17" i="4"/>
  <c r="M22" i="4"/>
  <c r="M15" i="4"/>
  <c r="M14" i="4"/>
  <c r="N23" i="4"/>
  <c r="N7" i="4"/>
  <c r="P31" i="4"/>
  <c r="N31" i="4"/>
  <c r="M31" i="4"/>
  <c r="N9" i="4"/>
  <c r="M30" i="4"/>
  <c r="P7" i="4"/>
  <c r="M23" i="4"/>
  <c r="Q29" i="4"/>
  <c r="P21" i="4"/>
  <c r="P2" i="4"/>
  <c r="N25" i="4"/>
  <c r="P15" i="4"/>
  <c r="M6" i="4"/>
  <c r="Q21" i="4"/>
  <c r="P29" i="4"/>
  <c r="M7" i="4"/>
  <c r="Q2" i="4"/>
  <c r="P23" i="4"/>
  <c r="N15" i="4"/>
  <c r="Q5" i="4"/>
  <c r="O3" i="4"/>
  <c r="M25" i="4"/>
  <c r="M17" i="4"/>
  <c r="M9" i="4"/>
  <c r="Q32" i="4"/>
  <c r="Q24" i="4"/>
  <c r="Q16" i="4"/>
  <c r="Q8" i="4"/>
  <c r="P32" i="4"/>
  <c r="P24" i="4"/>
  <c r="P16" i="4"/>
  <c r="Q13" i="4"/>
  <c r="P8" i="4"/>
  <c r="O32" i="4"/>
  <c r="O24" i="4"/>
  <c r="O16" i="4"/>
  <c r="P13" i="4"/>
  <c r="O8" i="4"/>
  <c r="Q3" i="4"/>
  <c r="N32" i="4"/>
  <c r="O28" i="4"/>
  <c r="N24" i="4"/>
  <c r="O20" i="4"/>
  <c r="N16" i="4"/>
  <c r="O12" i="4"/>
  <c r="N8" i="4"/>
  <c r="P3" i="4"/>
  <c r="N28" i="4"/>
  <c r="N20" i="4"/>
  <c r="N12" i="4"/>
  <c r="O31" i="4"/>
  <c r="Q25" i="4"/>
  <c r="O23" i="4"/>
  <c r="Q17" i="4"/>
  <c r="O15" i="4"/>
  <c r="Q9" i="4"/>
  <c r="O7" i="4"/>
  <c r="Q10" i="4"/>
  <c r="P26" i="4"/>
  <c r="P18" i="4"/>
  <c r="M28" i="4"/>
  <c r="O18" i="4"/>
  <c r="M12" i="4"/>
  <c r="P5" i="4"/>
  <c r="Q27" i="4"/>
  <c r="O21" i="4"/>
  <c r="N18" i="4"/>
  <c r="Q11" i="4"/>
  <c r="O5" i="4"/>
  <c r="Q30" i="4"/>
  <c r="P27" i="4"/>
  <c r="Q22" i="4"/>
  <c r="N21" i="4"/>
  <c r="M18" i="4"/>
  <c r="N13" i="4"/>
  <c r="M10" i="4"/>
  <c r="Q6" i="4"/>
  <c r="N5" i="4"/>
  <c r="P30" i="4"/>
  <c r="P22" i="4"/>
  <c r="P14" i="4"/>
  <c r="O11" i="4"/>
  <c r="N2" i="4"/>
  <c r="O30" i="4"/>
  <c r="Q28" i="4"/>
  <c r="N27" i="4"/>
  <c r="P25" i="4"/>
  <c r="O22" i="4"/>
  <c r="Q20" i="4"/>
  <c r="N19" i="4"/>
  <c r="P17" i="4"/>
  <c r="O14" i="4"/>
  <c r="Q12" i="4"/>
  <c r="N11" i="4"/>
  <c r="P9" i="4"/>
  <c r="O6" i="4"/>
  <c r="Q4" i="4"/>
  <c r="N3" i="4"/>
  <c r="Q26" i="4"/>
  <c r="O4" i="4"/>
  <c r="P10" i="4"/>
  <c r="N4" i="4"/>
  <c r="O26" i="4"/>
  <c r="M20" i="4"/>
  <c r="O10" i="4"/>
  <c r="M4" i="4"/>
  <c r="O29" i="4"/>
  <c r="N26" i="4"/>
  <c r="Q19" i="4"/>
  <c r="O13" i="4"/>
  <c r="N29" i="4"/>
  <c r="P19" i="4"/>
  <c r="Q14" i="4"/>
  <c r="P11" i="4"/>
  <c r="O27" i="4"/>
  <c r="O19" i="4"/>
  <c r="P6" i="4"/>
  <c r="O2" i="4"/>
  <c r="AG2" i="4" l="1"/>
  <c r="AG7" i="4" s="1"/>
  <c r="AF2" i="4"/>
  <c r="AF7" i="4" s="1"/>
  <c r="AE2" i="4"/>
  <c r="AE7" i="4" s="1"/>
  <c r="AC2" i="4"/>
  <c r="AC7" i="4" s="1"/>
  <c r="AD2" i="4"/>
  <c r="AD7" i="4" s="1"/>
</calcChain>
</file>

<file path=xl/sharedStrings.xml><?xml version="1.0" encoding="utf-8"?>
<sst xmlns="http://schemas.openxmlformats.org/spreadsheetml/2006/main" count="86" uniqueCount="76">
  <si>
    <t>Challenge</t>
  </si>
  <si>
    <t>Control</t>
  </si>
  <si>
    <t>Real world dissoc</t>
  </si>
  <si>
    <t>Emot involv</t>
  </si>
  <si>
    <t>Cog involv</t>
  </si>
  <si>
    <t>IEQ Immersion Score</t>
  </si>
  <si>
    <t>immers1</t>
  </si>
  <si>
    <t>immers2</t>
  </si>
  <si>
    <t>immers3</t>
  </si>
  <si>
    <t>immers4</t>
  </si>
  <si>
    <t>immers5</t>
  </si>
  <si>
    <t>immers6</t>
  </si>
  <si>
    <t>immers7</t>
  </si>
  <si>
    <t>immers8</t>
  </si>
  <si>
    <t>immers9</t>
  </si>
  <si>
    <t>immers10</t>
  </si>
  <si>
    <t>immers11</t>
  </si>
  <si>
    <t>immers12</t>
  </si>
  <si>
    <t>immers13</t>
  </si>
  <si>
    <t>immers14</t>
  </si>
  <si>
    <t>immers15</t>
  </si>
  <si>
    <t>immers16</t>
  </si>
  <si>
    <t>immers17</t>
  </si>
  <si>
    <t>immers18</t>
  </si>
  <si>
    <t>immers19</t>
  </si>
  <si>
    <t>immers20</t>
  </si>
  <si>
    <t>immers21</t>
  </si>
  <si>
    <t>immers22</t>
  </si>
  <si>
    <t>immers23</t>
  </si>
  <si>
    <t>immers24</t>
  </si>
  <si>
    <t>immers25</t>
  </si>
  <si>
    <t>immers26</t>
  </si>
  <si>
    <t>immers27</t>
  </si>
  <si>
    <t>immers28</t>
  </si>
  <si>
    <t>immers29</t>
  </si>
  <si>
    <t>immers30</t>
  </si>
  <si>
    <t>immers31</t>
  </si>
  <si>
    <t>max</t>
  </si>
  <si>
    <t>min</t>
  </si>
  <si>
    <t>%</t>
  </si>
  <si>
    <t>SUM</t>
  </si>
  <si>
    <t>nº</t>
  </si>
  <si>
    <t>media</t>
  </si>
  <si>
    <t>Single Question</t>
  </si>
  <si>
    <t>nª pessoas</t>
  </si>
  <si>
    <t>1. Em que medida o jogo captou a sua atenção?</t>
  </si>
  <si>
    <t>2. Em que medida sentiu que estava concentrado no jogo?</t>
  </si>
  <si>
    <t>3. Quanto esforço necessitou para jogar?</t>
  </si>
  <si>
    <t>4. Sentiu que estava a dar o seu melhor?</t>
  </si>
  <si>
    <t>5. Em que medida perdeu a noção do tempo, por exemplo, o jogo absorveu de tal forma a sua atenção que não sentiu tédio?</t>
  </si>
  <si>
    <t>6. Em que medida estava consciente de se encontrar no mundo real enquanto jogava?</t>
  </si>
  <si>
    <t>7. Em que medida se esqueceu das duas preocupações quotidianas?</t>
  </si>
  <si>
    <t>8. Em que medida estava ciente de si próprio nos seus arredores?</t>
  </si>
  <si>
    <t>9. Em que medida reparou no que estava a ocorrer à sua volta?</t>
  </si>
  <si>
    <t>10. Sentiu em algum momento o impulso de parar de jogar e ver o que estava a acontecer à sua volta?</t>
  </si>
  <si>
    <t>11. Em que medida sentiu que estava a interagir com o ambiente de jogo?</t>
  </si>
  <si>
    <t>12. Em que medida sentiu que estava separado do ambiente do mundo real?</t>
  </si>
  <si>
    <t>13. Em que medida sentiu que o jogo era algo divertido que estava a experienciar, em vez de uma tarefa que estava apenas a realizar?</t>
  </si>
  <si>
    <t>14. Em que medida a sua sensação de estar no ambiente do jogo era mais forte do que a sua sensação de estar no mundo real?</t>
  </si>
  <si>
    <t>15. Em algum momento sentiu-se tão envolvido que não se apercebeu de estar a usar os controlos (parecia ser algo sem esforço)?</t>
  </si>
  <si>
    <t>16. Em que medida sentiu que se movia no jogo pela sua vontade própria?</t>
  </si>
  <si>
    <t>17. Em que medida achou o jogo desafiante?</t>
  </si>
  <si>
    <t>18. Houve algum momento durante o jogo em que simplesmente quis desistir?</t>
  </si>
  <si>
    <t>19. Em que medida se sentiu motivado enquanto jogava?</t>
  </si>
  <si>
    <t>20. Em que medida achou o jogo fácil?</t>
  </si>
  <si>
    <t>21. Em que medida sentiu que estava a progredir em direção do fim do jogo?</t>
  </si>
  <si>
    <t>22. Como avalia o seu desempenho no jogo?</t>
  </si>
  <si>
    <t>23. Em que medida se sentiu emocionalmente ligado ao jogo?</t>
  </si>
  <si>
    <t>24. Em que medida estava interessado em ver como os eventos do jogo iriam progredir?</t>
  </si>
  <si>
    <t>25. O quanto queria "ganhar" o jogo?</t>
  </si>
  <si>
    <t>26. Sentiu suspense sobre ter ou não um bom desempenho no jogo?</t>
  </si>
  <si>
    <t>27. Em algum momento sentiu-se tão envolvido que quis falar diretamente com o jogo?</t>
  </si>
  <si>
    <t>28. Em que medida apreciou os gráficos e as imagens?</t>
  </si>
  <si>
    <t>29. O quanto diria que gostou de jogar?</t>
  </si>
  <si>
    <t>30. Quando terminou, ficou desapontado pelo jogo ter acabado?</t>
  </si>
  <si>
    <t>31. Gostaria de jogar novamente?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</si>
</sst>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FF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1" xfId="0" applyFill="1" applyBorder="1"/>
    <xf numFmtId="0" fontId="0" fillId="2" borderId="3" xfId="0" applyFill="1" applyBorder="1"/>
    <xf numFmtId="0" fontId="1" fillId="2" borderId="3" xfId="0" applyFont="1" applyFill="1" applyBorder="1" applyAlignment="1">
      <alignment wrapText="1"/>
    </xf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0" borderId="9" xfId="0" applyBorder="1"/>
    <xf numFmtId="0" fontId="0" fillId="0" borderId="2" xfId="0" applyBorder="1"/>
    <xf numFmtId="0" fontId="0" fillId="0" borderId="18" xfId="0" applyBorder="1"/>
    <xf numFmtId="0" fontId="0" fillId="0" borderId="19" xfId="0" applyBorder="1"/>
    <xf numFmtId="0" fontId="0" fillId="0" borderId="6" xfId="0" applyBorder="1"/>
    <xf numFmtId="0" fontId="2" fillId="0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0" fillId="2" borderId="28" xfId="0" applyFill="1" applyBorder="1"/>
    <xf numFmtId="0" fontId="1" fillId="2" borderId="8" xfId="0" applyFont="1" applyFill="1" applyBorder="1" applyAlignment="1">
      <alignment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0" borderId="12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1" fillId="0" borderId="15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0" fontId="1" fillId="0" borderId="16" xfId="0" applyFont="1" applyBorder="1" applyAlignment="1">
      <alignment horizontal="right" vertical="center" wrapText="1"/>
    </xf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2" borderId="26" xfId="0" applyFill="1" applyBorder="1"/>
    <xf numFmtId="0" fontId="0" fillId="2" borderId="27" xfId="0" applyFill="1" applyBorder="1"/>
    <xf numFmtId="0" fontId="2" fillId="0" borderId="10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2" borderId="26" xfId="0" applyFont="1" applyFill="1" applyBorder="1" applyAlignment="1">
      <alignment horizontal="right" wrapText="1"/>
    </xf>
    <xf numFmtId="0" fontId="1" fillId="2" borderId="27" xfId="0" applyFont="1" applyFill="1" applyBorder="1" applyAlignment="1">
      <alignment horizontal="right" wrapText="1"/>
    </xf>
    <xf numFmtId="0" fontId="1" fillId="2" borderId="28" xfId="0" applyFont="1" applyFill="1" applyBorder="1" applyAlignment="1">
      <alignment horizontal="right" wrapText="1"/>
    </xf>
    <xf numFmtId="0" fontId="1" fillId="0" borderId="30" xfId="0" applyFont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31" xfId="0" applyFill="1" applyBorder="1"/>
    <xf numFmtId="0" fontId="1" fillId="2" borderId="27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0" fillId="4" borderId="32" xfId="0" applyFill="1" applyBorder="1"/>
    <xf numFmtId="0" fontId="0" fillId="4" borderId="33" xfId="0" applyFill="1" applyBorder="1"/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13" xfId="0" applyFont="1" applyBorder="1" applyAlignment="1">
      <alignment horizontal="right" wrapText="1"/>
    </xf>
    <xf numFmtId="0" fontId="1" fillId="0" borderId="13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horizontal="right" wrapText="1"/>
    </xf>
    <xf numFmtId="0" fontId="1" fillId="0" borderId="16" xfId="0" applyFont="1" applyBorder="1" applyAlignment="1">
      <alignment wrapText="1"/>
    </xf>
    <xf numFmtId="0" fontId="1" fillId="0" borderId="21" xfId="0" applyFont="1" applyBorder="1" applyAlignment="1">
      <alignment horizontal="right" wrapText="1"/>
    </xf>
    <xf numFmtId="0" fontId="1" fillId="0" borderId="22" xfId="0" applyFont="1" applyBorder="1" applyAlignment="1">
      <alignment horizontal="right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 wrapText="1"/>
    </xf>
    <xf numFmtId="0" fontId="1" fillId="0" borderId="12" xfId="0" applyFont="1" applyBorder="1" applyAlignment="1">
      <alignment wrapText="1"/>
    </xf>
    <xf numFmtId="0" fontId="1" fillId="0" borderId="12" xfId="0" applyFont="1" applyBorder="1" applyAlignment="1">
      <alignment horizontal="right" wrapText="1"/>
    </xf>
    <xf numFmtId="0" fontId="1" fillId="0" borderId="14" xfId="0" applyFont="1" applyBorder="1" applyAlignment="1">
      <alignment wrapText="1"/>
    </xf>
    <xf numFmtId="0" fontId="1" fillId="2" borderId="26" xfId="0" applyFont="1" applyFill="1" applyBorder="1" applyAlignment="1">
      <alignment wrapText="1"/>
    </xf>
    <xf numFmtId="0" fontId="0" fillId="0" borderId="17" xfId="0" applyBorder="1"/>
    <xf numFmtId="0" fontId="0" fillId="2" borderId="4" xfId="0" applyFill="1" applyBorder="1"/>
    <xf numFmtId="0" fontId="0" fillId="0" borderId="29" xfId="0" applyBorder="1"/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0" fillId="3" borderId="8" xfId="0" applyFill="1" applyBorder="1"/>
    <xf numFmtId="0" fontId="0" fillId="4" borderId="34" xfId="0" applyFill="1" applyBorder="1"/>
    <xf numFmtId="0" fontId="0" fillId="4" borderId="35" xfId="0" applyFill="1" applyBorder="1"/>
    <xf numFmtId="0" fontId="0" fillId="3" borderId="23" xfId="0" applyFill="1" applyBorder="1"/>
    <xf numFmtId="0" fontId="0" fillId="0" borderId="24" xfId="0" applyBorder="1"/>
    <xf numFmtId="0" fontId="0" fillId="0" borderId="25" xfId="0" applyBorder="1"/>
    <xf numFmtId="0" fontId="0" fillId="0" borderId="3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10</xdr:row>
      <xdr:rowOff>234463</xdr:rowOff>
    </xdr:from>
    <xdr:to>
      <xdr:col>34</xdr:col>
      <xdr:colOff>0</xdr:colOff>
      <xdr:row>20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A82940-A181-BE60-011D-68DD202E6E01}"/>
            </a:ext>
          </a:extLst>
        </xdr:cNvPr>
        <xdr:cNvSpPr txBox="1"/>
      </xdr:nvSpPr>
      <xdr:spPr>
        <a:xfrm>
          <a:off x="24629806" y="2692528"/>
          <a:ext cx="9979742" cy="222360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P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IEQ Immersion</a:t>
          </a:r>
          <a:r>
            <a:rPr lang="pt-PT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Score:</a:t>
          </a:r>
          <a:r>
            <a:rPr lang="pt-P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Somar as respostas dos 31 itens do questionários.</a:t>
          </a:r>
        </a:p>
        <a:p>
          <a:pPr rtl="0"/>
          <a:r>
            <a:rPr lang="pt-P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 respostas às questões Q6, Q8, Q9, Q10, Q18 e Q20 são invertidas (ex.: 1 passa a ser 7, 2 </a:t>
          </a:r>
          <a:r>
            <a:rPr lang="pt-P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passa a ser</a:t>
          </a:r>
          <a:r>
            <a:rPr lang="pt-P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6, 3 </a:t>
          </a:r>
          <a:r>
            <a:rPr lang="pt-PT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passa a ser</a:t>
          </a:r>
          <a:r>
            <a:rPr lang="pt-PT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5).</a:t>
          </a:r>
          <a:endParaRPr lang="pt-PT" b="0">
            <a:effectLst/>
          </a:endParaRPr>
        </a:p>
        <a:p>
          <a:br>
            <a:rPr lang="pt-PT"/>
          </a:br>
          <a:r>
            <a:rPr lang="pt-PT" b="1">
              <a:effectLst/>
            </a:rPr>
            <a:t>Single Question Measure</a:t>
          </a:r>
          <a:r>
            <a:rPr lang="pt-PT" b="1" baseline="0">
              <a:effectLst/>
            </a:rPr>
            <a:t> of Immersion: </a:t>
          </a:r>
          <a:r>
            <a:rPr lang="pt-PT" b="0" baseline="0">
              <a:effectLst/>
            </a:rPr>
            <a:t>A última pergunta "Qual o grau de imersão que sentiu?" fornece uma medida adicional para verificar se o IEQ reflete de forma confiável a experiência de imersão do participante.</a:t>
          </a:r>
          <a:br>
            <a:rPr lang="pt-PT" b="0">
              <a:effectLst/>
            </a:rPr>
          </a:br>
          <a:endParaRPr lang="pt-PT" b="0">
            <a:effectLst/>
          </a:endParaRPr>
        </a:p>
        <a:p>
          <a:pPr rtl="0"/>
          <a:r>
            <a:rPr lang="pt-P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IEQ Immersion Factors:</a:t>
          </a:r>
          <a:r>
            <a:rPr lang="pt-P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Scores for five immersion factors can be computed, see Excel sheet “IEQ Scoring v2”. The five factors are: cognitive involvement, emotional involvement, real world dissociation, control, challenge.</a:t>
          </a:r>
          <a:endParaRPr lang="pt-PT" b="0">
            <a:effectLst/>
          </a:endParaRPr>
        </a:p>
        <a:p>
          <a:pPr rtl="0"/>
          <a:r>
            <a:rPr lang="pt-P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item has +1 then you include that item’s response in the factor score (e.g. rating of 1). </a:t>
          </a:r>
          <a:endParaRPr lang="pt-PT" b="0">
            <a:effectLst/>
          </a:endParaRPr>
        </a:p>
        <a:p>
          <a:pPr rtl="0"/>
          <a:r>
            <a:rPr lang="pt-P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item has -1 this means you include the item, but reverse the rating scale (e.g. rating of 1 becomes 7, etc.) </a:t>
          </a:r>
          <a:endParaRPr lang="pt-PT" b="0">
            <a:effectLst/>
          </a:endParaRPr>
        </a:p>
        <a:p>
          <a:endParaRPr lang="pt-PT"/>
        </a:p>
        <a:p>
          <a:r>
            <a:rPr lang="pt-PT" b="1"/>
            <a:t>IEQ Immersion</a:t>
          </a:r>
          <a:r>
            <a:rPr lang="pt-PT" b="1" baseline="0"/>
            <a:t> Factors</a:t>
          </a:r>
          <a:r>
            <a:rPr lang="pt-PT" b="1"/>
            <a:t>:</a:t>
          </a:r>
          <a:r>
            <a:rPr lang="pt-PT"/>
            <a:t> Os cinco fatores são envolvimento cognitivo, envolvimento emocional, dissociação do mundo real, controle e desafio.</a:t>
          </a:r>
          <a:br>
            <a:rPr lang="pt-PT"/>
          </a:br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711A-254E-49EA-AFAA-0B4954224C02}">
  <dimension ref="A1:AI32"/>
  <sheetViews>
    <sheetView tabSelected="1" topLeftCell="M1" zoomScale="85" zoomScaleNormal="85" workbookViewId="0">
      <selection activeCell="AI5" sqref="AI5"/>
    </sheetView>
  </sheetViews>
  <sheetFormatPr defaultRowHeight="14.5" x14ac:dyDescent="0.35"/>
  <cols>
    <col min="1" max="1" width="125.7265625" customWidth="1"/>
    <col min="2" max="17" width="8.81640625" customWidth="1"/>
    <col min="18" max="18" width="10.7265625" customWidth="1"/>
    <col min="20" max="20" width="8.81640625" customWidth="1"/>
    <col min="24" max="24" width="10.7265625" customWidth="1"/>
    <col min="26" max="26" width="15.7265625" customWidth="1"/>
    <col min="27" max="27" width="8.81640625" customWidth="1"/>
    <col min="28" max="34" width="20.7265625" customWidth="1"/>
    <col min="37" max="39" width="8.81640625" customWidth="1"/>
  </cols>
  <sheetData>
    <row r="1" spans="1:35" ht="19.899999999999999" customHeight="1" thickBot="1" x14ac:dyDescent="0.4">
      <c r="A1" s="51"/>
      <c r="B1" s="70">
        <v>1</v>
      </c>
      <c r="C1" s="46">
        <v>2</v>
      </c>
      <c r="D1" s="46">
        <v>3</v>
      </c>
      <c r="E1" s="46">
        <v>4</v>
      </c>
      <c r="F1" s="46">
        <v>5</v>
      </c>
      <c r="G1" s="46">
        <v>6</v>
      </c>
      <c r="H1" s="47">
        <v>7</v>
      </c>
      <c r="J1" s="2" t="s">
        <v>41</v>
      </c>
      <c r="K1" s="45" t="s">
        <v>40</v>
      </c>
      <c r="M1" s="34">
        <v>1</v>
      </c>
      <c r="N1" s="35">
        <v>2</v>
      </c>
      <c r="O1" s="35">
        <v>3</v>
      </c>
      <c r="P1" s="35">
        <v>4</v>
      </c>
      <c r="Q1" s="16">
        <v>5</v>
      </c>
      <c r="R1" s="42"/>
      <c r="S1" s="39">
        <v>1</v>
      </c>
      <c r="T1" s="40">
        <v>2</v>
      </c>
      <c r="U1" s="40">
        <v>3</v>
      </c>
      <c r="V1" s="40">
        <v>4</v>
      </c>
      <c r="W1" s="41">
        <v>5</v>
      </c>
      <c r="Z1" s="3" t="s">
        <v>43</v>
      </c>
      <c r="AB1" s="3" t="s">
        <v>5</v>
      </c>
      <c r="AC1" s="4" t="s">
        <v>0</v>
      </c>
      <c r="AD1" s="4" t="s">
        <v>1</v>
      </c>
      <c r="AE1" s="4" t="s">
        <v>2</v>
      </c>
      <c r="AF1" s="4" t="s">
        <v>3</v>
      </c>
      <c r="AG1" s="4" t="s">
        <v>4</v>
      </c>
      <c r="AH1" s="4" t="s">
        <v>43</v>
      </c>
    </row>
    <row r="2" spans="1:35" ht="19.899999999999999" customHeight="1" x14ac:dyDescent="0.35">
      <c r="A2" s="63" t="s">
        <v>45</v>
      </c>
      <c r="B2" s="54"/>
      <c r="C2" s="55"/>
      <c r="D2" s="55"/>
      <c r="E2" s="55"/>
      <c r="F2" s="61">
        <v>1</v>
      </c>
      <c r="G2" s="55">
        <v>3</v>
      </c>
      <c r="H2" s="62">
        <v>2</v>
      </c>
      <c r="J2" s="72">
        <v>1</v>
      </c>
      <c r="K2" s="71">
        <f>SUM((B2*1),(C2*2),(D2*3),(E2*4),(F2*5),(G2*6),(H2*7))</f>
        <v>37</v>
      </c>
      <c r="M2" s="31">
        <f t="shared" ref="M2:M32" si="0">K2*S2</f>
        <v>28.379000000000001</v>
      </c>
      <c r="N2" s="32">
        <f t="shared" ref="N2:N32" si="1">K2*T2</f>
        <v>-0.25900000000000001</v>
      </c>
      <c r="O2" s="32">
        <f t="shared" ref="O2:O32" si="2">K2*U2</f>
        <v>-6.6970000000000001</v>
      </c>
      <c r="P2" s="32">
        <f t="shared" ref="P2:P32" si="3">K2*V2</f>
        <v>10.693</v>
      </c>
      <c r="Q2" s="33">
        <f t="shared" ref="Q2:Q32" si="4">K2*W2</f>
        <v>2.8119999999999998</v>
      </c>
      <c r="R2" s="17" t="s">
        <v>6</v>
      </c>
      <c r="S2" s="36">
        <v>0.76700000000000002</v>
      </c>
      <c r="T2" s="37">
        <v>-7.0000000000000001E-3</v>
      </c>
      <c r="U2" s="37">
        <v>-0.18099999999999999</v>
      </c>
      <c r="V2" s="37">
        <v>0.28899999999999998</v>
      </c>
      <c r="W2" s="38">
        <v>7.5999999999999998E-2</v>
      </c>
      <c r="Y2" s="74">
        <v>1</v>
      </c>
      <c r="Z2" s="73"/>
      <c r="AB2" s="77">
        <f>SUM(K2:K32)/AB10</f>
        <v>155.66666666666666</v>
      </c>
      <c r="AC2" s="77">
        <f>SUM(M2:M32)/AB10</f>
        <v>53.990833333333335</v>
      </c>
      <c r="AD2" s="77">
        <f>SUM(N2:N32)/AB10</f>
        <v>-11.9975</v>
      </c>
      <c r="AE2" s="77">
        <f>SUM(O2:O32)/AB10</f>
        <v>6.6474999999999982</v>
      </c>
      <c r="AF2" s="77">
        <f>SUM(P2:P32)/AB10</f>
        <v>44.967000000000006</v>
      </c>
      <c r="AG2" s="77">
        <f>SUM(Q2:Q32)/AB10</f>
        <v>38.556333333333335</v>
      </c>
      <c r="AH2" s="80">
        <f>Z14/AB10</f>
        <v>8.1666666666666661</v>
      </c>
      <c r="AI2" s="5" t="s">
        <v>42</v>
      </c>
    </row>
    <row r="3" spans="1:35" ht="19.899999999999999" customHeight="1" x14ac:dyDescent="0.35">
      <c r="A3" s="64" t="s">
        <v>46</v>
      </c>
      <c r="B3" s="67"/>
      <c r="C3" s="52"/>
      <c r="D3" s="52">
        <v>1</v>
      </c>
      <c r="E3" s="52"/>
      <c r="F3" s="53"/>
      <c r="G3" s="52">
        <v>3</v>
      </c>
      <c r="H3" s="56">
        <v>2</v>
      </c>
      <c r="J3" s="43">
        <v>2</v>
      </c>
      <c r="K3" s="10">
        <f>SUM((B3*1),(C3*2),(D3*3),(E3*4),(F3*5),(G3*6),(H3*7))</f>
        <v>35</v>
      </c>
      <c r="M3" s="18">
        <f t="shared" si="0"/>
        <v>27.195</v>
      </c>
      <c r="N3" s="12">
        <f t="shared" si="1"/>
        <v>-6.125</v>
      </c>
      <c r="O3" s="12">
        <f t="shared" si="2"/>
        <v>-0.52500000000000002</v>
      </c>
      <c r="P3" s="12">
        <f t="shared" si="3"/>
        <v>9.0300000000000011</v>
      </c>
      <c r="Q3" s="19">
        <f t="shared" si="4"/>
        <v>5.2149999999999999</v>
      </c>
      <c r="R3" s="43" t="s">
        <v>7</v>
      </c>
      <c r="S3" s="23">
        <v>0.77700000000000002</v>
      </c>
      <c r="T3" s="14">
        <v>-0.17499999999999999</v>
      </c>
      <c r="U3" s="14">
        <v>-1.4999999999999999E-2</v>
      </c>
      <c r="V3" s="14">
        <v>0.25800000000000001</v>
      </c>
      <c r="W3" s="24">
        <v>0.14899999999999999</v>
      </c>
      <c r="Y3" s="75">
        <v>2</v>
      </c>
      <c r="Z3" s="10"/>
      <c r="AB3" s="8">
        <f>7*31</f>
        <v>217</v>
      </c>
      <c r="AC3" s="8">
        <f>7*SUM(S2:S32)</f>
        <v>69.733999999999995</v>
      </c>
      <c r="AD3" s="8">
        <f>7*SUM(T2:T32)</f>
        <v>-14.035</v>
      </c>
      <c r="AE3" s="8">
        <f>7*SUM(U2:U32)</f>
        <v>6.7059999999999995</v>
      </c>
      <c r="AF3" s="8">
        <f>7*SUM(V2:V32)</f>
        <v>62.082999999999998</v>
      </c>
      <c r="AG3" s="8">
        <f>7*SUM(W2:W32)</f>
        <v>51.737000000000002</v>
      </c>
      <c r="AH3" s="81">
        <v>10</v>
      </c>
      <c r="AI3" s="72" t="s">
        <v>37</v>
      </c>
    </row>
    <row r="4" spans="1:35" ht="19.899999999999999" customHeight="1" thickBot="1" x14ac:dyDescent="0.4">
      <c r="A4" s="64" t="s">
        <v>47</v>
      </c>
      <c r="B4" s="67"/>
      <c r="C4" s="52">
        <v>1</v>
      </c>
      <c r="D4" s="52"/>
      <c r="E4" s="52">
        <v>1</v>
      </c>
      <c r="F4" s="53">
        <v>3</v>
      </c>
      <c r="G4" s="52">
        <v>1</v>
      </c>
      <c r="H4" s="56"/>
      <c r="J4" s="43">
        <v>3</v>
      </c>
      <c r="K4" s="10">
        <f>SUM((B4*1),(C4*2),(D4*3),(E4*4),(F4*5),(G4*6),(H4*7))</f>
        <v>27</v>
      </c>
      <c r="M4" s="18">
        <f t="shared" si="0"/>
        <v>19.736999999999998</v>
      </c>
      <c r="N4" s="12">
        <f t="shared" si="1"/>
        <v>-2.8079999999999998</v>
      </c>
      <c r="O4" s="12">
        <f t="shared" si="2"/>
        <v>2.5920000000000001</v>
      </c>
      <c r="P4" s="12">
        <f t="shared" si="3"/>
        <v>2.484</v>
      </c>
      <c r="Q4" s="19">
        <f t="shared" si="4"/>
        <v>7.7219999999999995</v>
      </c>
      <c r="R4" s="43" t="s">
        <v>8</v>
      </c>
      <c r="S4" s="23">
        <v>0.73099999999999998</v>
      </c>
      <c r="T4" s="14">
        <v>-0.104</v>
      </c>
      <c r="U4" s="14">
        <v>9.6000000000000002E-2</v>
      </c>
      <c r="V4" s="14">
        <v>9.1999999999999998E-2</v>
      </c>
      <c r="W4" s="24">
        <v>0.28599999999999998</v>
      </c>
      <c r="Y4" s="75">
        <v>3</v>
      </c>
      <c r="Z4" s="10"/>
      <c r="AB4" s="9">
        <f>1*31</f>
        <v>31</v>
      </c>
      <c r="AC4" s="9">
        <f>1*SUM(S2:S32)</f>
        <v>9.9619999999999997</v>
      </c>
      <c r="AD4" s="9">
        <f>1*SUM(T2:T32)</f>
        <v>-2.0049999999999999</v>
      </c>
      <c r="AE4" s="9">
        <f>1*SUM(U2:U32)</f>
        <v>0.95799999999999996</v>
      </c>
      <c r="AF4" s="9">
        <f>1*SUM(V2:V32)</f>
        <v>8.8689999999999998</v>
      </c>
      <c r="AG4" s="9">
        <f>1*SUM(W2:W32)</f>
        <v>7.391</v>
      </c>
      <c r="AH4" s="82">
        <v>1</v>
      </c>
      <c r="AI4" s="7" t="s">
        <v>38</v>
      </c>
    </row>
    <row r="5" spans="1:35" ht="19.899999999999999" customHeight="1" thickBot="1" x14ac:dyDescent="0.4">
      <c r="A5" s="64" t="s">
        <v>48</v>
      </c>
      <c r="B5" s="67"/>
      <c r="C5" s="52"/>
      <c r="D5" s="52">
        <v>1</v>
      </c>
      <c r="E5" s="52"/>
      <c r="F5" s="53"/>
      <c r="G5" s="52">
        <v>3</v>
      </c>
      <c r="H5" s="56">
        <v>2</v>
      </c>
      <c r="J5" s="6">
        <v>4</v>
      </c>
      <c r="K5" s="10">
        <f>SUM((B5*1),(C5*2),(D5*3),(E5*4),(F5*5),(G5*6),(H5*7))</f>
        <v>35</v>
      </c>
      <c r="M5" s="18">
        <f t="shared" si="0"/>
        <v>26.32</v>
      </c>
      <c r="N5" s="12">
        <f t="shared" si="1"/>
        <v>-2.415</v>
      </c>
      <c r="O5" s="12">
        <f t="shared" si="2"/>
        <v>3.4650000000000003</v>
      </c>
      <c r="P5" s="12">
        <f t="shared" si="3"/>
        <v>5.8450000000000006</v>
      </c>
      <c r="Q5" s="19">
        <f t="shared" si="4"/>
        <v>9.5200000000000014</v>
      </c>
      <c r="R5" s="43" t="s">
        <v>9</v>
      </c>
      <c r="S5" s="23">
        <v>0.752</v>
      </c>
      <c r="T5" s="14">
        <v>-6.9000000000000006E-2</v>
      </c>
      <c r="U5" s="14">
        <v>9.9000000000000005E-2</v>
      </c>
      <c r="V5" s="14">
        <v>0.16700000000000001</v>
      </c>
      <c r="W5" s="24">
        <v>0.27200000000000002</v>
      </c>
      <c r="Y5" s="75">
        <v>4</v>
      </c>
      <c r="Z5" s="10"/>
    </row>
    <row r="6" spans="1:35" ht="19.899999999999999" customHeight="1" thickBot="1" x14ac:dyDescent="0.4">
      <c r="A6" s="64" t="s">
        <v>49</v>
      </c>
      <c r="B6" s="67"/>
      <c r="C6" s="52"/>
      <c r="D6" s="53"/>
      <c r="E6" s="52"/>
      <c r="F6" s="52">
        <v>2</v>
      </c>
      <c r="G6" s="52">
        <v>1</v>
      </c>
      <c r="H6" s="57">
        <v>3</v>
      </c>
      <c r="J6" s="43">
        <v>5</v>
      </c>
      <c r="K6" s="10">
        <f>SUM((B6*1),(C6*2),(D6*3),(E6*4),(F6*5),(G6*6),(H6*7))</f>
        <v>37</v>
      </c>
      <c r="M6" s="18">
        <f t="shared" si="0"/>
        <v>11.359</v>
      </c>
      <c r="N6" s="12">
        <f t="shared" si="1"/>
        <v>-10.914999999999999</v>
      </c>
      <c r="O6" s="12">
        <f t="shared" si="2"/>
        <v>8.8059999999999992</v>
      </c>
      <c r="P6" s="12">
        <f t="shared" si="3"/>
        <v>7.77</v>
      </c>
      <c r="Q6" s="19">
        <f t="shared" si="4"/>
        <v>8.9909999999999997</v>
      </c>
      <c r="R6" s="43" t="s">
        <v>10</v>
      </c>
      <c r="S6" s="23">
        <v>0.307</v>
      </c>
      <c r="T6" s="14">
        <v>-0.29499999999999998</v>
      </c>
      <c r="U6" s="14">
        <v>0.23799999999999999</v>
      </c>
      <c r="V6" s="14">
        <v>0.21</v>
      </c>
      <c r="W6" s="24">
        <v>0.24299999999999999</v>
      </c>
      <c r="Y6" s="75">
        <v>5</v>
      </c>
      <c r="Z6" s="10"/>
      <c r="AB6" s="2" t="s">
        <v>5</v>
      </c>
      <c r="AC6" s="1" t="s">
        <v>0</v>
      </c>
      <c r="AD6" s="1" t="s">
        <v>1</v>
      </c>
      <c r="AE6" s="1" t="s">
        <v>2</v>
      </c>
      <c r="AF6" s="1" t="s">
        <v>3</v>
      </c>
      <c r="AG6" s="1" t="s">
        <v>4</v>
      </c>
      <c r="AH6" s="2" t="s">
        <v>43</v>
      </c>
    </row>
    <row r="7" spans="1:35" ht="19.899999999999999" customHeight="1" thickBot="1" x14ac:dyDescent="0.4">
      <c r="A7" s="64" t="s">
        <v>50</v>
      </c>
      <c r="B7" s="67"/>
      <c r="C7" s="52"/>
      <c r="D7" s="53"/>
      <c r="E7" s="52">
        <v>2</v>
      </c>
      <c r="F7" s="52">
        <v>4</v>
      </c>
      <c r="G7" s="52"/>
      <c r="H7" s="57"/>
      <c r="J7" s="43">
        <v>6</v>
      </c>
      <c r="K7" s="10">
        <f>SUM((B7*7),(C7*6),(D7*5),(E7*4),(F7*3),(G7*2),(H7*1))</f>
        <v>20</v>
      </c>
      <c r="M7" s="18">
        <f t="shared" si="0"/>
        <v>-1.28</v>
      </c>
      <c r="N7" s="12">
        <f t="shared" si="1"/>
        <v>14.62</v>
      </c>
      <c r="O7" s="12">
        <f t="shared" si="2"/>
        <v>-3.08</v>
      </c>
      <c r="P7" s="12">
        <f t="shared" si="3"/>
        <v>1.7000000000000002</v>
      </c>
      <c r="Q7" s="19">
        <f t="shared" si="4"/>
        <v>-2.66</v>
      </c>
      <c r="R7" s="43" t="s">
        <v>11</v>
      </c>
      <c r="S7" s="25">
        <v>-6.4000000000000001E-2</v>
      </c>
      <c r="T7" s="13">
        <v>0.73099999999999998</v>
      </c>
      <c r="U7" s="14">
        <v>-0.154</v>
      </c>
      <c r="V7" s="14">
        <v>8.5000000000000006E-2</v>
      </c>
      <c r="W7" s="24">
        <v>-0.13300000000000001</v>
      </c>
      <c r="Y7" s="75">
        <v>6</v>
      </c>
      <c r="Z7" s="10"/>
      <c r="AB7" s="79">
        <f t="shared" ref="AB7:AH7" si="5">ROUND((AB2/AB3)*100, 2)</f>
        <v>71.739999999999995</v>
      </c>
      <c r="AC7" s="79">
        <f t="shared" si="5"/>
        <v>77.42</v>
      </c>
      <c r="AD7" s="79">
        <f t="shared" si="5"/>
        <v>85.48</v>
      </c>
      <c r="AE7" s="79">
        <f t="shared" si="5"/>
        <v>99.13</v>
      </c>
      <c r="AF7" s="78">
        <f t="shared" si="5"/>
        <v>72.430000000000007</v>
      </c>
      <c r="AG7" s="48">
        <f t="shared" si="5"/>
        <v>74.52</v>
      </c>
      <c r="AH7" s="49">
        <f t="shared" si="5"/>
        <v>81.67</v>
      </c>
      <c r="AI7" s="2" t="s">
        <v>39</v>
      </c>
    </row>
    <row r="8" spans="1:35" ht="19.899999999999999" customHeight="1" thickBot="1" x14ac:dyDescent="0.4">
      <c r="A8" s="64" t="s">
        <v>51</v>
      </c>
      <c r="B8" s="67"/>
      <c r="C8" s="52"/>
      <c r="D8" s="53">
        <v>1</v>
      </c>
      <c r="E8" s="52"/>
      <c r="F8" s="52">
        <v>1</v>
      </c>
      <c r="G8" s="52">
        <v>2</v>
      </c>
      <c r="H8" s="57">
        <v>2</v>
      </c>
      <c r="J8" s="6">
        <v>7</v>
      </c>
      <c r="K8" s="10">
        <f>SUM((B8*1),(C8*2),(D8*3),(E8*4),(F8*5),(G8*6),(H8*7))</f>
        <v>34</v>
      </c>
      <c r="M8" s="18">
        <f t="shared" si="0"/>
        <v>8.4320000000000004</v>
      </c>
      <c r="N8" s="12">
        <f t="shared" si="1"/>
        <v>-15.776000000000002</v>
      </c>
      <c r="O8" s="12">
        <f t="shared" si="2"/>
        <v>-5.5419999999999998</v>
      </c>
      <c r="P8" s="12">
        <f t="shared" si="3"/>
        <v>14.756</v>
      </c>
      <c r="Q8" s="19">
        <f t="shared" si="4"/>
        <v>-1.1220000000000001</v>
      </c>
      <c r="R8" s="43" t="s">
        <v>12</v>
      </c>
      <c r="S8" s="25">
        <v>0.248</v>
      </c>
      <c r="T8" s="15">
        <v>-0.46400000000000002</v>
      </c>
      <c r="U8" s="14">
        <v>-0.16300000000000001</v>
      </c>
      <c r="V8" s="13">
        <v>0.434</v>
      </c>
      <c r="W8" s="24">
        <v>-3.3000000000000002E-2</v>
      </c>
      <c r="Y8" s="75">
        <v>7</v>
      </c>
      <c r="Z8" s="10">
        <v>2</v>
      </c>
    </row>
    <row r="9" spans="1:35" ht="19.899999999999999" customHeight="1" thickBot="1" x14ac:dyDescent="0.4">
      <c r="A9" s="64" t="s">
        <v>52</v>
      </c>
      <c r="B9" s="67"/>
      <c r="C9" s="52"/>
      <c r="D9" s="53">
        <v>1</v>
      </c>
      <c r="E9" s="52">
        <v>2</v>
      </c>
      <c r="F9" s="52">
        <v>1</v>
      </c>
      <c r="G9" s="52">
        <v>2</v>
      </c>
      <c r="H9" s="57"/>
      <c r="J9" s="43">
        <v>8</v>
      </c>
      <c r="K9" s="10">
        <f>SUM((B9*7),(C9*6),(D9*5),(E9*4),(F9*3),(G9*2),(H9*1))</f>
        <v>20</v>
      </c>
      <c r="M9" s="18">
        <f t="shared" si="0"/>
        <v>0.94</v>
      </c>
      <c r="N9" s="12">
        <f t="shared" si="1"/>
        <v>15.26</v>
      </c>
      <c r="O9" s="12">
        <f t="shared" si="2"/>
        <v>0.18</v>
      </c>
      <c r="P9" s="12">
        <f t="shared" si="3"/>
        <v>-1.22</v>
      </c>
      <c r="Q9" s="19">
        <f t="shared" si="4"/>
        <v>1.7000000000000002</v>
      </c>
      <c r="R9" s="43" t="s">
        <v>13</v>
      </c>
      <c r="S9" s="25">
        <v>4.7E-2</v>
      </c>
      <c r="T9" s="13">
        <v>0.76300000000000001</v>
      </c>
      <c r="U9" s="14">
        <v>8.9999999999999993E-3</v>
      </c>
      <c r="V9" s="14">
        <v>-6.0999999999999999E-2</v>
      </c>
      <c r="W9" s="24">
        <v>8.5000000000000006E-2</v>
      </c>
      <c r="Y9" s="75">
        <v>8</v>
      </c>
      <c r="Z9" s="10">
        <v>2</v>
      </c>
      <c r="AB9" s="2" t="s">
        <v>44</v>
      </c>
    </row>
    <row r="10" spans="1:35" ht="19.899999999999999" customHeight="1" thickBot="1" x14ac:dyDescent="0.4">
      <c r="A10" s="64" t="s">
        <v>53</v>
      </c>
      <c r="B10" s="67"/>
      <c r="C10" s="52">
        <v>1</v>
      </c>
      <c r="D10" s="53">
        <v>1</v>
      </c>
      <c r="E10" s="52">
        <v>1</v>
      </c>
      <c r="F10" s="52">
        <v>2</v>
      </c>
      <c r="G10" s="52">
        <v>1</v>
      </c>
      <c r="H10" s="57"/>
      <c r="J10" s="43">
        <v>9</v>
      </c>
      <c r="K10" s="10">
        <f>SUM((B10*7),(C10*6),(D10*5),(E10*4),(F10*3),(G10*2),(H10*1))</f>
        <v>23</v>
      </c>
      <c r="M10" s="18">
        <f t="shared" si="0"/>
        <v>1.748</v>
      </c>
      <c r="N10" s="12">
        <f t="shared" si="1"/>
        <v>15.433000000000002</v>
      </c>
      <c r="O10" s="12">
        <f t="shared" si="2"/>
        <v>2.1619999999999999</v>
      </c>
      <c r="P10" s="12">
        <f t="shared" si="3"/>
        <v>-4.6230000000000002</v>
      </c>
      <c r="Q10" s="19">
        <f t="shared" si="4"/>
        <v>-0.36799999999999999</v>
      </c>
      <c r="R10" s="43" t="s">
        <v>14</v>
      </c>
      <c r="S10" s="25">
        <v>7.5999999999999998E-2</v>
      </c>
      <c r="T10" s="13">
        <v>0.67100000000000004</v>
      </c>
      <c r="U10" s="14">
        <v>9.4E-2</v>
      </c>
      <c r="V10" s="14">
        <v>-0.20100000000000001</v>
      </c>
      <c r="W10" s="24">
        <v>-1.6E-2</v>
      </c>
      <c r="Y10" s="75">
        <v>9</v>
      </c>
      <c r="Z10" s="10">
        <v>1</v>
      </c>
      <c r="AB10" s="50">
        <f>SUM(Z2:Z11)</f>
        <v>6</v>
      </c>
    </row>
    <row r="11" spans="1:35" ht="19.899999999999999" customHeight="1" thickBot="1" x14ac:dyDescent="0.4">
      <c r="A11" s="64" t="s">
        <v>54</v>
      </c>
      <c r="B11" s="67">
        <v>4</v>
      </c>
      <c r="C11" s="53">
        <v>2</v>
      </c>
      <c r="D11" s="52"/>
      <c r="E11" s="52"/>
      <c r="F11" s="52"/>
      <c r="G11" s="52"/>
      <c r="H11" s="57"/>
      <c r="J11" s="6">
        <v>10</v>
      </c>
      <c r="K11" s="10">
        <f>SUM((B11*7),(C11*6),(D11*5),(E11*4),(F11*3),(G11*2),(H11*1))</f>
        <v>40</v>
      </c>
      <c r="M11" s="18">
        <f t="shared" si="0"/>
        <v>-6.9599999999999991</v>
      </c>
      <c r="N11" s="12">
        <f t="shared" si="1"/>
        <v>12.16</v>
      </c>
      <c r="O11" s="12">
        <f t="shared" si="2"/>
        <v>1.92</v>
      </c>
      <c r="P11" s="12">
        <f t="shared" si="3"/>
        <v>-11.240000000000002</v>
      </c>
      <c r="Q11" s="19">
        <f t="shared" si="4"/>
        <v>10.4</v>
      </c>
      <c r="R11" s="43" t="s">
        <v>15</v>
      </c>
      <c r="S11" s="25">
        <v>-0.17399999999999999</v>
      </c>
      <c r="T11" s="13">
        <v>0.30399999999999999</v>
      </c>
      <c r="U11" s="14">
        <v>4.8000000000000001E-2</v>
      </c>
      <c r="V11" s="14">
        <v>-0.28100000000000003</v>
      </c>
      <c r="W11" s="24">
        <v>0.26</v>
      </c>
      <c r="Y11" s="76">
        <v>10</v>
      </c>
      <c r="Z11" s="11">
        <v>1</v>
      </c>
    </row>
    <row r="12" spans="1:35" ht="19.899999999999999" customHeight="1" thickBot="1" x14ac:dyDescent="0.4">
      <c r="A12" s="64" t="s">
        <v>55</v>
      </c>
      <c r="B12" s="67"/>
      <c r="C12" s="53"/>
      <c r="D12" s="52"/>
      <c r="E12" s="52"/>
      <c r="F12" s="52">
        <v>2</v>
      </c>
      <c r="G12" s="52">
        <v>2</v>
      </c>
      <c r="H12" s="57">
        <v>2</v>
      </c>
      <c r="J12" s="43">
        <v>11</v>
      </c>
      <c r="K12" s="10">
        <f t="shared" ref="K12:K18" si="6">SUM((B12*1),(C12*2),(D12*3),(E12*4),(F12*5),(G12*6),(H12*7))</f>
        <v>36</v>
      </c>
      <c r="M12" s="18">
        <f t="shared" si="0"/>
        <v>16.596</v>
      </c>
      <c r="N12" s="12">
        <f t="shared" si="1"/>
        <v>-7.0200000000000005</v>
      </c>
      <c r="O12" s="12">
        <f t="shared" si="2"/>
        <v>1.2600000000000002</v>
      </c>
      <c r="P12" s="12">
        <f t="shared" si="3"/>
        <v>16.38</v>
      </c>
      <c r="Q12" s="19">
        <f t="shared" si="4"/>
        <v>17.423999999999999</v>
      </c>
      <c r="R12" s="43" t="s">
        <v>16</v>
      </c>
      <c r="S12" s="23">
        <v>0.46100000000000002</v>
      </c>
      <c r="T12" s="14">
        <v>-0.19500000000000001</v>
      </c>
      <c r="U12" s="14">
        <v>3.5000000000000003E-2</v>
      </c>
      <c r="V12" s="13">
        <v>0.45500000000000002</v>
      </c>
      <c r="W12" s="26">
        <v>0.48399999999999999</v>
      </c>
    </row>
    <row r="13" spans="1:35" ht="19.899999999999999" customHeight="1" thickBot="1" x14ac:dyDescent="0.4">
      <c r="A13" s="64" t="s">
        <v>56</v>
      </c>
      <c r="B13" s="67"/>
      <c r="C13" s="52">
        <v>1</v>
      </c>
      <c r="D13" s="53">
        <v>2</v>
      </c>
      <c r="E13" s="52">
        <v>1</v>
      </c>
      <c r="F13" s="52">
        <v>2</v>
      </c>
      <c r="G13" s="52"/>
      <c r="H13" s="57"/>
      <c r="J13" s="43">
        <v>12</v>
      </c>
      <c r="K13" s="10">
        <f t="shared" si="6"/>
        <v>22</v>
      </c>
      <c r="M13" s="18">
        <f t="shared" si="0"/>
        <v>6.0060000000000002</v>
      </c>
      <c r="N13" s="12">
        <f t="shared" si="1"/>
        <v>-15.488</v>
      </c>
      <c r="O13" s="12">
        <f t="shared" si="2"/>
        <v>2.3980000000000001</v>
      </c>
      <c r="P13" s="12">
        <f t="shared" si="3"/>
        <v>9.0640000000000001</v>
      </c>
      <c r="Q13" s="19">
        <f t="shared" si="4"/>
        <v>7.8979999999999997</v>
      </c>
      <c r="R13" s="43" t="s">
        <v>17</v>
      </c>
      <c r="S13" s="25">
        <v>0.27300000000000002</v>
      </c>
      <c r="T13" s="15">
        <v>-0.70399999999999996</v>
      </c>
      <c r="U13" s="14">
        <v>0.109</v>
      </c>
      <c r="V13" s="13">
        <v>0.41199999999999998</v>
      </c>
      <c r="W13" s="26">
        <v>0.35899999999999999</v>
      </c>
      <c r="Z13" s="3" t="s">
        <v>43</v>
      </c>
    </row>
    <row r="14" spans="1:35" ht="19.899999999999999" customHeight="1" thickBot="1" x14ac:dyDescent="0.4">
      <c r="A14" s="65" t="s">
        <v>57</v>
      </c>
      <c r="B14" s="67"/>
      <c r="C14" s="52"/>
      <c r="D14" s="52"/>
      <c r="E14" s="53">
        <v>1</v>
      </c>
      <c r="F14" s="52"/>
      <c r="G14" s="53">
        <v>4</v>
      </c>
      <c r="H14" s="57">
        <v>1</v>
      </c>
      <c r="J14" s="6">
        <v>13</v>
      </c>
      <c r="K14" s="10">
        <f t="shared" si="6"/>
        <v>35</v>
      </c>
      <c r="M14" s="18">
        <f t="shared" si="0"/>
        <v>13.125</v>
      </c>
      <c r="N14" s="12">
        <f t="shared" si="1"/>
        <v>-12.95</v>
      </c>
      <c r="O14" s="12">
        <f t="shared" si="2"/>
        <v>2.2050000000000001</v>
      </c>
      <c r="P14" s="12">
        <f t="shared" si="3"/>
        <v>18.234999999999999</v>
      </c>
      <c r="Q14" s="19">
        <f t="shared" si="4"/>
        <v>15.154999999999999</v>
      </c>
      <c r="R14" s="43" t="s">
        <v>18</v>
      </c>
      <c r="S14" s="23">
        <v>0.375</v>
      </c>
      <c r="T14" s="15">
        <v>-0.37</v>
      </c>
      <c r="U14" s="14">
        <v>6.3E-2</v>
      </c>
      <c r="V14" s="13">
        <v>0.52100000000000002</v>
      </c>
      <c r="W14" s="26">
        <v>0.433</v>
      </c>
      <c r="Y14" s="2" t="s">
        <v>40</v>
      </c>
      <c r="Z14" s="83">
        <f>SUM((Z2*1),(Z3*2),(Z4*3),(Z5*4),(Z6*5),(Z7*6),(Z8*7),(Z9*8),(Z10*9),(Z11*10))</f>
        <v>49</v>
      </c>
    </row>
    <row r="15" spans="1:35" ht="19.899999999999999" customHeight="1" x14ac:dyDescent="0.35">
      <c r="A15" s="65" t="s">
        <v>58</v>
      </c>
      <c r="B15" s="67">
        <v>1</v>
      </c>
      <c r="C15" s="52"/>
      <c r="D15" s="53"/>
      <c r="E15" s="52">
        <v>1</v>
      </c>
      <c r="F15" s="52">
        <v>1</v>
      </c>
      <c r="G15" s="52">
        <v>3</v>
      </c>
      <c r="H15" s="57"/>
      <c r="J15" s="43">
        <v>14</v>
      </c>
      <c r="K15" s="10">
        <f t="shared" si="6"/>
        <v>28</v>
      </c>
      <c r="M15" s="18">
        <f t="shared" si="0"/>
        <v>7.4760000000000009</v>
      </c>
      <c r="N15" s="12">
        <f t="shared" si="1"/>
        <v>-18.2</v>
      </c>
      <c r="O15" s="12">
        <f t="shared" si="2"/>
        <v>2.2680000000000002</v>
      </c>
      <c r="P15" s="12">
        <f t="shared" si="3"/>
        <v>8.3719999999999999</v>
      </c>
      <c r="Q15" s="19">
        <f t="shared" si="4"/>
        <v>12.852</v>
      </c>
      <c r="R15" s="43" t="s">
        <v>19</v>
      </c>
      <c r="S15" s="25">
        <v>0.26700000000000002</v>
      </c>
      <c r="T15" s="15">
        <v>-0.65</v>
      </c>
      <c r="U15" s="14">
        <v>8.1000000000000003E-2</v>
      </c>
      <c r="V15" s="14">
        <v>0.29899999999999999</v>
      </c>
      <c r="W15" s="26">
        <v>0.45900000000000002</v>
      </c>
    </row>
    <row r="16" spans="1:35" ht="19.899999999999999" customHeight="1" x14ac:dyDescent="0.35">
      <c r="A16" s="65" t="s">
        <v>59</v>
      </c>
      <c r="B16" s="67"/>
      <c r="C16" s="53">
        <v>1</v>
      </c>
      <c r="D16" s="52">
        <v>1</v>
      </c>
      <c r="E16" s="52">
        <v>1</v>
      </c>
      <c r="F16" s="52">
        <v>1</v>
      </c>
      <c r="G16" s="52">
        <v>1</v>
      </c>
      <c r="H16" s="57">
        <v>1</v>
      </c>
      <c r="J16" s="43">
        <v>15</v>
      </c>
      <c r="K16" s="10">
        <f t="shared" si="6"/>
        <v>27</v>
      </c>
      <c r="M16" s="18">
        <f t="shared" si="0"/>
        <v>3.5640000000000001</v>
      </c>
      <c r="N16" s="12">
        <f t="shared" si="1"/>
        <v>-8.8830000000000009</v>
      </c>
      <c r="O16" s="12">
        <f t="shared" si="2"/>
        <v>2.5379999999999998</v>
      </c>
      <c r="P16" s="12">
        <f t="shared" si="3"/>
        <v>7.479000000000001</v>
      </c>
      <c r="Q16" s="19">
        <f t="shared" si="4"/>
        <v>17.361000000000001</v>
      </c>
      <c r="R16" s="43" t="s">
        <v>20</v>
      </c>
      <c r="S16" s="25">
        <v>0.13200000000000001</v>
      </c>
      <c r="T16" s="15">
        <v>-0.32900000000000001</v>
      </c>
      <c r="U16" s="14">
        <v>9.4E-2</v>
      </c>
      <c r="V16" s="14">
        <v>0.27700000000000002</v>
      </c>
      <c r="W16" s="26">
        <v>0.64300000000000002</v>
      </c>
    </row>
    <row r="17" spans="1:23" ht="19.899999999999999" customHeight="1" x14ac:dyDescent="0.35">
      <c r="A17" s="65" t="s">
        <v>60</v>
      </c>
      <c r="B17" s="18"/>
      <c r="C17" s="53"/>
      <c r="D17" s="52"/>
      <c r="E17" s="52">
        <v>1</v>
      </c>
      <c r="F17" s="52">
        <v>2</v>
      </c>
      <c r="G17" s="52">
        <v>2</v>
      </c>
      <c r="H17" s="57">
        <v>1</v>
      </c>
      <c r="J17" s="6">
        <v>16</v>
      </c>
      <c r="K17" s="10">
        <f t="shared" si="6"/>
        <v>33</v>
      </c>
      <c r="M17" s="18">
        <f t="shared" si="0"/>
        <v>8.745000000000001</v>
      </c>
      <c r="N17" s="12">
        <f t="shared" si="1"/>
        <v>-6.0720000000000001</v>
      </c>
      <c r="O17" s="12">
        <f t="shared" si="2"/>
        <v>0.69300000000000006</v>
      </c>
      <c r="P17" s="12">
        <f t="shared" si="3"/>
        <v>8.9760000000000009</v>
      </c>
      <c r="Q17" s="19">
        <f t="shared" si="4"/>
        <v>18.48</v>
      </c>
      <c r="R17" s="43" t="s">
        <v>21</v>
      </c>
      <c r="S17" s="25">
        <v>0.26500000000000001</v>
      </c>
      <c r="T17" s="14">
        <v>-0.184</v>
      </c>
      <c r="U17" s="14">
        <v>2.1000000000000001E-2</v>
      </c>
      <c r="V17" s="14">
        <v>0.27200000000000002</v>
      </c>
      <c r="W17" s="26">
        <v>0.56000000000000005</v>
      </c>
    </row>
    <row r="18" spans="1:23" ht="19.899999999999999" customHeight="1" x14ac:dyDescent="0.35">
      <c r="A18" s="64" t="s">
        <v>61</v>
      </c>
      <c r="B18" s="68"/>
      <c r="C18" s="52">
        <v>1</v>
      </c>
      <c r="D18" s="52">
        <v>1</v>
      </c>
      <c r="E18" s="52">
        <v>1</v>
      </c>
      <c r="F18" s="52">
        <v>2</v>
      </c>
      <c r="G18" s="52">
        <v>1</v>
      </c>
      <c r="H18" s="57"/>
      <c r="J18" s="43">
        <v>17</v>
      </c>
      <c r="K18" s="10">
        <f t="shared" si="6"/>
        <v>25</v>
      </c>
      <c r="M18" s="18">
        <f t="shared" si="0"/>
        <v>12.4</v>
      </c>
      <c r="N18" s="12">
        <f t="shared" si="1"/>
        <v>1.6</v>
      </c>
      <c r="O18" s="12">
        <f t="shared" si="2"/>
        <v>9.5250000000000004</v>
      </c>
      <c r="P18" s="12">
        <f t="shared" si="3"/>
        <v>9.8000000000000007</v>
      </c>
      <c r="Q18" s="19">
        <f t="shared" si="4"/>
        <v>7.0749999999999993</v>
      </c>
      <c r="R18" s="43" t="s">
        <v>22</v>
      </c>
      <c r="S18" s="23">
        <v>0.496</v>
      </c>
      <c r="T18" s="14">
        <v>6.4000000000000001E-2</v>
      </c>
      <c r="U18" s="13">
        <v>0.38100000000000001</v>
      </c>
      <c r="V18" s="13">
        <v>0.39200000000000002</v>
      </c>
      <c r="W18" s="24">
        <v>0.28299999999999997</v>
      </c>
    </row>
    <row r="19" spans="1:23" ht="19.899999999999999" customHeight="1" x14ac:dyDescent="0.35">
      <c r="A19" s="64" t="s">
        <v>62</v>
      </c>
      <c r="B19" s="68">
        <v>4</v>
      </c>
      <c r="C19" s="52">
        <v>1</v>
      </c>
      <c r="D19" s="52"/>
      <c r="E19" s="52">
        <v>1</v>
      </c>
      <c r="F19" s="52"/>
      <c r="G19" s="52"/>
      <c r="H19" s="57"/>
      <c r="J19" s="43">
        <v>18</v>
      </c>
      <c r="K19" s="10">
        <f>SUM((B19*7),(C19*6),(D19*5),(E19*4),(F19*3),(G19*2),(H19*1))</f>
        <v>38</v>
      </c>
      <c r="M19" s="18">
        <f t="shared" si="0"/>
        <v>-7.2960000000000003</v>
      </c>
      <c r="N19" s="12">
        <f t="shared" si="1"/>
        <v>1.5580000000000001</v>
      </c>
      <c r="O19" s="12">
        <f t="shared" si="2"/>
        <v>27.436</v>
      </c>
      <c r="P19" s="12">
        <f t="shared" si="3"/>
        <v>-6.8780000000000001</v>
      </c>
      <c r="Q19" s="19">
        <f t="shared" si="4"/>
        <v>2.242</v>
      </c>
      <c r="R19" s="43" t="s">
        <v>23</v>
      </c>
      <c r="S19" s="25">
        <v>-0.192</v>
      </c>
      <c r="T19" s="14">
        <v>4.1000000000000002E-2</v>
      </c>
      <c r="U19" s="13">
        <v>0.72199999999999998</v>
      </c>
      <c r="V19" s="14">
        <v>-0.18099999999999999</v>
      </c>
      <c r="W19" s="24">
        <v>5.8999999999999997E-2</v>
      </c>
    </row>
    <row r="20" spans="1:23" ht="19.899999999999999" customHeight="1" x14ac:dyDescent="0.35">
      <c r="A20" s="64" t="s">
        <v>63</v>
      </c>
      <c r="B20" s="67"/>
      <c r="C20" s="52"/>
      <c r="D20" s="52"/>
      <c r="E20" s="52"/>
      <c r="F20" s="53">
        <v>3</v>
      </c>
      <c r="G20" s="52">
        <v>3</v>
      </c>
      <c r="H20" s="56"/>
      <c r="J20" s="6">
        <v>19</v>
      </c>
      <c r="K20" s="10">
        <f>SUM((B20*1),(C20*2),(D20*3),(E20*4),(F20*5),(G20*6),(H20*7))</f>
        <v>33</v>
      </c>
      <c r="M20" s="18">
        <f t="shared" si="0"/>
        <v>21.681000000000001</v>
      </c>
      <c r="N20" s="12">
        <f t="shared" si="1"/>
        <v>-4.7519999999999998</v>
      </c>
      <c r="O20" s="12">
        <f t="shared" si="2"/>
        <v>1.98</v>
      </c>
      <c r="P20" s="12">
        <f t="shared" si="3"/>
        <v>19.667999999999999</v>
      </c>
      <c r="Q20" s="19">
        <f t="shared" si="4"/>
        <v>7.4910000000000005</v>
      </c>
      <c r="R20" s="43" t="s">
        <v>24</v>
      </c>
      <c r="S20" s="23">
        <v>0.65700000000000003</v>
      </c>
      <c r="T20" s="14">
        <v>-0.14399999999999999</v>
      </c>
      <c r="U20" s="14">
        <v>0.06</v>
      </c>
      <c r="V20" s="13">
        <v>0.59599999999999997</v>
      </c>
      <c r="W20" s="24">
        <v>0.22700000000000001</v>
      </c>
    </row>
    <row r="21" spans="1:23" ht="19.899999999999999" customHeight="1" x14ac:dyDescent="0.35">
      <c r="A21" s="64" t="s">
        <v>64</v>
      </c>
      <c r="B21" s="68"/>
      <c r="C21" s="52"/>
      <c r="D21" s="52"/>
      <c r="E21" s="52">
        <v>1</v>
      </c>
      <c r="F21" s="52">
        <v>3</v>
      </c>
      <c r="G21" s="52">
        <v>2</v>
      </c>
      <c r="H21" s="57"/>
      <c r="J21" s="43">
        <v>20</v>
      </c>
      <c r="K21" s="10">
        <f>SUM((B21*7),(C21*6),(D21*5),(E21*4),(F21*3),(G21*2),(H21*1))</f>
        <v>17</v>
      </c>
      <c r="M21" s="18">
        <f t="shared" si="0"/>
        <v>-1.7509999999999999</v>
      </c>
      <c r="N21" s="12">
        <f t="shared" si="1"/>
        <v>0.27200000000000002</v>
      </c>
      <c r="O21" s="12">
        <f t="shared" si="2"/>
        <v>-12.120999999999999</v>
      </c>
      <c r="P21" s="12">
        <f t="shared" si="3"/>
        <v>-2.7880000000000003</v>
      </c>
      <c r="Q21" s="19">
        <f t="shared" si="4"/>
        <v>1.071</v>
      </c>
      <c r="R21" s="43" t="s">
        <v>25</v>
      </c>
      <c r="S21" s="25">
        <v>-0.10299999999999999</v>
      </c>
      <c r="T21" s="14">
        <v>1.6E-2</v>
      </c>
      <c r="U21" s="15">
        <v>-0.71299999999999997</v>
      </c>
      <c r="V21" s="14">
        <v>-0.16400000000000001</v>
      </c>
      <c r="W21" s="24">
        <v>6.3E-2</v>
      </c>
    </row>
    <row r="22" spans="1:23" ht="19.899999999999999" customHeight="1" x14ac:dyDescent="0.35">
      <c r="A22" s="64" t="s">
        <v>65</v>
      </c>
      <c r="B22" s="67"/>
      <c r="C22" s="52"/>
      <c r="D22" s="52"/>
      <c r="E22" s="52"/>
      <c r="F22" s="53">
        <v>1</v>
      </c>
      <c r="G22" s="52">
        <v>3</v>
      </c>
      <c r="H22" s="56">
        <v>2</v>
      </c>
      <c r="J22" s="43">
        <v>21</v>
      </c>
      <c r="K22" s="10">
        <f t="shared" ref="K22:K32" si="7">SUM((B22*1),(C22*2),(D22*3),(E22*4),(F22*5),(G22*6),(H22*7))</f>
        <v>37</v>
      </c>
      <c r="M22" s="18">
        <f t="shared" si="0"/>
        <v>18.204000000000001</v>
      </c>
      <c r="N22" s="12">
        <f t="shared" si="1"/>
        <v>1.2950000000000002</v>
      </c>
      <c r="O22" s="12">
        <f t="shared" si="2"/>
        <v>-4.4029999999999996</v>
      </c>
      <c r="P22" s="12">
        <f t="shared" si="3"/>
        <v>2.4790000000000001</v>
      </c>
      <c r="Q22" s="19">
        <f t="shared" si="4"/>
        <v>15.022</v>
      </c>
      <c r="R22" s="43" t="s">
        <v>26</v>
      </c>
      <c r="S22" s="23">
        <v>0.49199999999999999</v>
      </c>
      <c r="T22" s="14">
        <v>3.5000000000000003E-2</v>
      </c>
      <c r="U22" s="14">
        <v>-0.11899999999999999</v>
      </c>
      <c r="V22" s="14">
        <v>6.7000000000000004E-2</v>
      </c>
      <c r="W22" s="26">
        <v>0.40600000000000003</v>
      </c>
    </row>
    <row r="23" spans="1:23" ht="19.899999999999999" customHeight="1" x14ac:dyDescent="0.35">
      <c r="A23" s="64" t="s">
        <v>66</v>
      </c>
      <c r="B23" s="67"/>
      <c r="C23" s="52"/>
      <c r="D23" s="52"/>
      <c r="E23" s="52">
        <v>2</v>
      </c>
      <c r="F23" s="53">
        <v>1</v>
      </c>
      <c r="G23" s="52">
        <v>1</v>
      </c>
      <c r="H23" s="56">
        <v>2</v>
      </c>
      <c r="J23" s="6">
        <v>22</v>
      </c>
      <c r="K23" s="10">
        <f t="shared" si="7"/>
        <v>33</v>
      </c>
      <c r="M23" s="18">
        <f t="shared" si="0"/>
        <v>16.268999999999998</v>
      </c>
      <c r="N23" s="12">
        <f t="shared" si="1"/>
        <v>1.5509999999999999</v>
      </c>
      <c r="O23" s="12">
        <f t="shared" si="2"/>
        <v>-10.625999999999999</v>
      </c>
      <c r="P23" s="12">
        <f t="shared" si="3"/>
        <v>12.342000000000001</v>
      </c>
      <c r="Q23" s="19">
        <f t="shared" si="4"/>
        <v>9.6029999999999998</v>
      </c>
      <c r="R23" s="43" t="s">
        <v>27</v>
      </c>
      <c r="S23" s="23">
        <v>0.49299999999999999</v>
      </c>
      <c r="T23" s="14">
        <v>4.7E-2</v>
      </c>
      <c r="U23" s="15">
        <v>-0.32200000000000001</v>
      </c>
      <c r="V23" s="13">
        <v>0.374</v>
      </c>
      <c r="W23" s="24">
        <v>0.29099999999999998</v>
      </c>
    </row>
    <row r="24" spans="1:23" ht="19.899999999999999" customHeight="1" x14ac:dyDescent="0.35">
      <c r="A24" s="64" t="s">
        <v>67</v>
      </c>
      <c r="B24" s="67"/>
      <c r="C24" s="52">
        <v>1</v>
      </c>
      <c r="D24" s="52">
        <v>2</v>
      </c>
      <c r="E24" s="53">
        <v>2</v>
      </c>
      <c r="F24" s="52">
        <v>1</v>
      </c>
      <c r="G24" s="53"/>
      <c r="H24" s="57"/>
      <c r="J24" s="43">
        <v>23</v>
      </c>
      <c r="K24" s="10">
        <f t="shared" si="7"/>
        <v>21</v>
      </c>
      <c r="M24" s="18">
        <f t="shared" si="0"/>
        <v>2.8980000000000001</v>
      </c>
      <c r="N24" s="12">
        <f t="shared" si="1"/>
        <v>-4.5780000000000003</v>
      </c>
      <c r="O24" s="12">
        <f t="shared" si="2"/>
        <v>-2.4779999999999998</v>
      </c>
      <c r="P24" s="12">
        <f t="shared" si="3"/>
        <v>14.847</v>
      </c>
      <c r="Q24" s="19">
        <f t="shared" si="4"/>
        <v>2.31</v>
      </c>
      <c r="R24" s="43" t="s">
        <v>28</v>
      </c>
      <c r="S24" s="25">
        <v>0.13800000000000001</v>
      </c>
      <c r="T24" s="14">
        <v>-0.218</v>
      </c>
      <c r="U24" s="14">
        <v>-0.11799999999999999</v>
      </c>
      <c r="V24" s="13">
        <v>0.70699999999999996</v>
      </c>
      <c r="W24" s="24">
        <v>0.11</v>
      </c>
    </row>
    <row r="25" spans="1:23" ht="19.899999999999999" customHeight="1" x14ac:dyDescent="0.35">
      <c r="A25" s="64" t="s">
        <v>68</v>
      </c>
      <c r="B25" s="67"/>
      <c r="C25" s="52">
        <v>1</v>
      </c>
      <c r="D25" s="52">
        <v>1</v>
      </c>
      <c r="E25" s="53">
        <v>1</v>
      </c>
      <c r="F25" s="52">
        <v>3</v>
      </c>
      <c r="G25" s="53"/>
      <c r="H25" s="57"/>
      <c r="J25" s="43">
        <v>24</v>
      </c>
      <c r="K25" s="10">
        <f t="shared" si="7"/>
        <v>24</v>
      </c>
      <c r="M25" s="18">
        <f t="shared" si="0"/>
        <v>9.1679999999999993</v>
      </c>
      <c r="N25" s="12">
        <f t="shared" si="1"/>
        <v>-4.3439999999999994</v>
      </c>
      <c r="O25" s="12">
        <f t="shared" si="2"/>
        <v>-4.7520000000000007</v>
      </c>
      <c r="P25" s="12">
        <f t="shared" si="3"/>
        <v>13.128</v>
      </c>
      <c r="Q25" s="19">
        <f t="shared" si="4"/>
        <v>6.4080000000000004</v>
      </c>
      <c r="R25" s="43" t="s">
        <v>29</v>
      </c>
      <c r="S25" s="23">
        <v>0.38200000000000001</v>
      </c>
      <c r="T25" s="14">
        <v>-0.18099999999999999</v>
      </c>
      <c r="U25" s="14">
        <v>-0.19800000000000001</v>
      </c>
      <c r="V25" s="13">
        <v>0.54700000000000004</v>
      </c>
      <c r="W25" s="24">
        <v>0.26700000000000002</v>
      </c>
    </row>
    <row r="26" spans="1:23" ht="19.899999999999999" customHeight="1" x14ac:dyDescent="0.35">
      <c r="A26" s="64" t="s">
        <v>69</v>
      </c>
      <c r="B26" s="67"/>
      <c r="C26" s="52"/>
      <c r="D26" s="52"/>
      <c r="E26" s="52">
        <v>1</v>
      </c>
      <c r="F26" s="53"/>
      <c r="G26" s="52"/>
      <c r="H26" s="56">
        <v>5</v>
      </c>
      <c r="J26" s="6">
        <v>25</v>
      </c>
      <c r="K26" s="10">
        <f t="shared" si="7"/>
        <v>39</v>
      </c>
      <c r="M26" s="18">
        <f t="shared" si="0"/>
        <v>19.344000000000001</v>
      </c>
      <c r="N26" s="12">
        <f t="shared" si="1"/>
        <v>-4.0169999999999995</v>
      </c>
      <c r="O26" s="12">
        <f t="shared" si="2"/>
        <v>7.4489999999999998</v>
      </c>
      <c r="P26" s="12">
        <f t="shared" si="3"/>
        <v>17.433</v>
      </c>
      <c r="Q26" s="19">
        <f t="shared" si="4"/>
        <v>7.02</v>
      </c>
      <c r="R26" s="43" t="s">
        <v>30</v>
      </c>
      <c r="S26" s="23">
        <v>0.496</v>
      </c>
      <c r="T26" s="14">
        <v>-0.10299999999999999</v>
      </c>
      <c r="U26" s="14">
        <v>0.191</v>
      </c>
      <c r="V26" s="13">
        <v>0.44700000000000001</v>
      </c>
      <c r="W26" s="24">
        <v>0.18</v>
      </c>
    </row>
    <row r="27" spans="1:23" ht="19.899999999999999" customHeight="1" x14ac:dyDescent="0.35">
      <c r="A27" s="64" t="s">
        <v>70</v>
      </c>
      <c r="B27" s="68"/>
      <c r="C27" s="52"/>
      <c r="D27" s="52">
        <v>2</v>
      </c>
      <c r="E27" s="52">
        <v>2</v>
      </c>
      <c r="F27" s="52">
        <v>1</v>
      </c>
      <c r="G27" s="52"/>
      <c r="H27" s="57">
        <v>1</v>
      </c>
      <c r="J27" s="43">
        <v>26</v>
      </c>
      <c r="K27" s="10">
        <f t="shared" si="7"/>
        <v>26</v>
      </c>
      <c r="M27" s="18">
        <f t="shared" si="0"/>
        <v>6.2139999999999995</v>
      </c>
      <c r="N27" s="12">
        <f t="shared" si="1"/>
        <v>-5.3819999999999997</v>
      </c>
      <c r="O27" s="12">
        <f t="shared" si="2"/>
        <v>12.558</v>
      </c>
      <c r="P27" s="12">
        <f t="shared" si="3"/>
        <v>13.234</v>
      </c>
      <c r="Q27" s="19">
        <f t="shared" si="4"/>
        <v>-0.10400000000000001</v>
      </c>
      <c r="R27" s="43" t="s">
        <v>31</v>
      </c>
      <c r="S27" s="25">
        <v>0.23899999999999999</v>
      </c>
      <c r="T27" s="14">
        <v>-0.20699999999999999</v>
      </c>
      <c r="U27" s="13">
        <v>0.48299999999999998</v>
      </c>
      <c r="V27" s="13">
        <v>0.50900000000000001</v>
      </c>
      <c r="W27" s="24">
        <v>-4.0000000000000001E-3</v>
      </c>
    </row>
    <row r="28" spans="1:23" ht="19.899999999999999" customHeight="1" x14ac:dyDescent="0.35">
      <c r="A28" s="65" t="s">
        <v>71</v>
      </c>
      <c r="B28" s="67">
        <v>2</v>
      </c>
      <c r="C28" s="52">
        <v>1</v>
      </c>
      <c r="D28" s="52">
        <v>1</v>
      </c>
      <c r="E28" s="53"/>
      <c r="F28" s="52">
        <v>1</v>
      </c>
      <c r="G28" s="53">
        <v>1</v>
      </c>
      <c r="H28" s="57"/>
      <c r="J28" s="43">
        <v>27</v>
      </c>
      <c r="K28" s="10">
        <f t="shared" si="7"/>
        <v>18</v>
      </c>
      <c r="M28" s="18">
        <f t="shared" si="0"/>
        <v>1.3319999999999999</v>
      </c>
      <c r="N28" s="12">
        <f t="shared" si="1"/>
        <v>-3.6360000000000001</v>
      </c>
      <c r="O28" s="12">
        <f t="shared" si="2"/>
        <v>3.9239999999999999</v>
      </c>
      <c r="P28" s="12">
        <f t="shared" si="3"/>
        <v>10.421999999999999</v>
      </c>
      <c r="Q28" s="19">
        <f t="shared" si="4"/>
        <v>2.0880000000000001</v>
      </c>
      <c r="R28" s="43" t="s">
        <v>32</v>
      </c>
      <c r="S28" s="25">
        <v>7.3999999999999996E-2</v>
      </c>
      <c r="T28" s="14">
        <v>-0.20200000000000001</v>
      </c>
      <c r="U28" s="14">
        <v>0.218</v>
      </c>
      <c r="V28" s="13">
        <v>0.57899999999999996</v>
      </c>
      <c r="W28" s="24">
        <v>0.11600000000000001</v>
      </c>
    </row>
    <row r="29" spans="1:23" ht="19.899999999999999" customHeight="1" x14ac:dyDescent="0.35">
      <c r="A29" s="64" t="s">
        <v>72</v>
      </c>
      <c r="B29" s="67"/>
      <c r="C29" s="53">
        <v>1</v>
      </c>
      <c r="D29" s="52">
        <v>1</v>
      </c>
      <c r="E29" s="52">
        <v>1</v>
      </c>
      <c r="F29" s="52">
        <v>1</v>
      </c>
      <c r="G29" s="52">
        <v>2</v>
      </c>
      <c r="H29" s="57"/>
      <c r="J29" s="6">
        <v>28</v>
      </c>
      <c r="K29" s="10">
        <f>SUM((B29*1),(C29*2),(D29*3),(E29*4),(F29*5),(G29*6),(H29*7))</f>
        <v>26</v>
      </c>
      <c r="M29" s="18">
        <f t="shared" si="0"/>
        <v>8.4500000000000011</v>
      </c>
      <c r="N29" s="12">
        <f t="shared" si="1"/>
        <v>0.26</v>
      </c>
      <c r="O29" s="12">
        <f t="shared" si="2"/>
        <v>-3.0420000000000003</v>
      </c>
      <c r="P29" s="12">
        <f t="shared" si="3"/>
        <v>3.3540000000000001</v>
      </c>
      <c r="Q29" s="19">
        <f t="shared" si="4"/>
        <v>15.677999999999999</v>
      </c>
      <c r="R29" s="43" t="s">
        <v>33</v>
      </c>
      <c r="S29" s="23">
        <v>0.32500000000000001</v>
      </c>
      <c r="T29" s="14">
        <v>0.01</v>
      </c>
      <c r="U29" s="14">
        <v>-0.11700000000000001</v>
      </c>
      <c r="V29" s="14">
        <v>0.129</v>
      </c>
      <c r="W29" s="26">
        <v>0.60299999999999998</v>
      </c>
    </row>
    <row r="30" spans="1:23" ht="19.899999999999999" customHeight="1" x14ac:dyDescent="0.35">
      <c r="A30" s="64" t="s">
        <v>73</v>
      </c>
      <c r="B30" s="67"/>
      <c r="C30" s="52"/>
      <c r="D30" s="52"/>
      <c r="E30" s="52"/>
      <c r="F30" s="53">
        <v>1</v>
      </c>
      <c r="G30" s="52">
        <v>2</v>
      </c>
      <c r="H30" s="56">
        <v>3</v>
      </c>
      <c r="J30" s="43">
        <v>29</v>
      </c>
      <c r="K30" s="10">
        <f>SUM((B30*1),(C30*2),(D30*3),(E30*4),(F30*5),(G30*6),(H30*7))</f>
        <v>38</v>
      </c>
      <c r="M30" s="18">
        <f t="shared" si="0"/>
        <v>24.7</v>
      </c>
      <c r="N30" s="12">
        <f t="shared" si="1"/>
        <v>0.26600000000000001</v>
      </c>
      <c r="O30" s="12">
        <f t="shared" si="2"/>
        <v>-4.8639999999999999</v>
      </c>
      <c r="P30" s="12">
        <f t="shared" si="3"/>
        <v>19.266000000000002</v>
      </c>
      <c r="Q30" s="19">
        <f t="shared" si="4"/>
        <v>13.375999999999999</v>
      </c>
      <c r="R30" s="43" t="s">
        <v>34</v>
      </c>
      <c r="S30" s="23">
        <v>0.65</v>
      </c>
      <c r="T30" s="14">
        <v>7.0000000000000001E-3</v>
      </c>
      <c r="U30" s="14">
        <v>-0.128</v>
      </c>
      <c r="V30" s="13">
        <v>0.50700000000000001</v>
      </c>
      <c r="W30" s="26">
        <v>0.35199999999999998</v>
      </c>
    </row>
    <row r="31" spans="1:23" ht="19.899999999999999" customHeight="1" x14ac:dyDescent="0.35">
      <c r="A31" s="64" t="s">
        <v>74</v>
      </c>
      <c r="B31" s="67"/>
      <c r="C31" s="52"/>
      <c r="D31" s="52"/>
      <c r="E31" s="53"/>
      <c r="F31" s="52">
        <v>5</v>
      </c>
      <c r="G31" s="53"/>
      <c r="H31" s="57">
        <v>1</v>
      </c>
      <c r="J31" s="43">
        <v>30</v>
      </c>
      <c r="K31" s="10">
        <f t="shared" si="7"/>
        <v>32</v>
      </c>
      <c r="M31" s="18">
        <f t="shared" si="0"/>
        <v>4.8</v>
      </c>
      <c r="N31" s="12">
        <f t="shared" si="1"/>
        <v>-4.7679999999999998</v>
      </c>
      <c r="O31" s="12">
        <f t="shared" si="2"/>
        <v>4.3520000000000003</v>
      </c>
      <c r="P31" s="12">
        <f t="shared" si="3"/>
        <v>17.184000000000001</v>
      </c>
      <c r="Q31" s="19">
        <f t="shared" si="4"/>
        <v>6.08</v>
      </c>
      <c r="R31" s="43" t="s">
        <v>35</v>
      </c>
      <c r="S31" s="25">
        <v>0.15</v>
      </c>
      <c r="T31" s="14">
        <v>-0.14899999999999999</v>
      </c>
      <c r="U31" s="14">
        <v>0.13600000000000001</v>
      </c>
      <c r="V31" s="13">
        <v>0.53700000000000003</v>
      </c>
      <c r="W31" s="24">
        <v>0.19</v>
      </c>
    </row>
    <row r="32" spans="1:23" ht="19.899999999999999" customHeight="1" thickBot="1" x14ac:dyDescent="0.4">
      <c r="A32" s="66" t="s">
        <v>75</v>
      </c>
      <c r="B32" s="69"/>
      <c r="C32" s="58"/>
      <c r="D32" s="58"/>
      <c r="E32" s="59">
        <v>1</v>
      </c>
      <c r="F32" s="58"/>
      <c r="G32" s="59">
        <v>1</v>
      </c>
      <c r="H32" s="60">
        <v>4</v>
      </c>
      <c r="J32" s="7">
        <v>31</v>
      </c>
      <c r="K32" s="11">
        <f t="shared" si="7"/>
        <v>38</v>
      </c>
      <c r="M32" s="20">
        <f t="shared" si="0"/>
        <v>16.149999999999999</v>
      </c>
      <c r="N32" s="21">
        <f t="shared" si="1"/>
        <v>2.1280000000000001</v>
      </c>
      <c r="O32" s="21">
        <f t="shared" si="2"/>
        <v>0.30399999999999999</v>
      </c>
      <c r="P32" s="21">
        <f t="shared" si="3"/>
        <v>22.61</v>
      </c>
      <c r="Q32" s="22">
        <f t="shared" si="4"/>
        <v>4.5979999999999999</v>
      </c>
      <c r="R32" s="44" t="s">
        <v>36</v>
      </c>
      <c r="S32" s="27">
        <v>0.42499999999999999</v>
      </c>
      <c r="T32" s="28">
        <v>5.6000000000000001E-2</v>
      </c>
      <c r="U32" s="28">
        <v>8.0000000000000002E-3</v>
      </c>
      <c r="V32" s="29">
        <v>0.59499999999999997</v>
      </c>
      <c r="W32" s="30">
        <v>0.121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IEQ_scores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Camoes</dc:creator>
  <cp:lastModifiedBy>Carolina Raposo</cp:lastModifiedBy>
  <dcterms:created xsi:type="dcterms:W3CDTF">2026-06-09T15:35:16Z</dcterms:created>
  <dcterms:modified xsi:type="dcterms:W3CDTF">2026-07-08T22:15:40Z</dcterms:modified>
</cp:coreProperties>
</file>